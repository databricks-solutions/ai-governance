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ment" sheetId="1" r:id="rId5"/>
    <sheet state="visible" name="Result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tc={03f6c643-ad7c-44ae-8039-cb7164dad4b9}</author>
    <author>tc={4079bb7d-5d0e-4823-b1a8-952fc048baae}</author>
  </authors>
  <commentList>
    <comment authorId="0" xr:uid="{03f6c643-ad7c-44ae-8039-cb7164dad4b9}" ref="B15">
      <text>
        <t xml:space="preserve">[Threaded comment]
 Your version of Excel allows you to read this threaded comment; however, any edits to it will get removed if the file is opened in a newer version of Excel. Learn more: https://go.microsoft.com/fwlink/?linkid=870924
Comment:
	Isn't this redundant with 3? Also, this list feels like we might be missing the 800-lb gorilla: "We have the option to use the latest proprietary and open weight frontier models from leading AI labs" or similar
Reply:
	totes
</t>
      </text>
    </comment>
    <comment authorId="1" xr:uid="{4079bb7d-5d0e-4823-b1a8-952fc048baae}" ref="B22">
      <text>
        <t xml:space="preserve">[Threaded comment]
 Your version of Excel allows you to read this threaded comment; however, any edits to it will get removed if the file is opened in a newer version of Excel. Learn more: https://go.microsoft.com/fwlink/?linkid=870924
Comment:
	Redundant with 19? What about including something like "We can link AI-completed tasks with AI spend to understand which models are most efficient for our work" - basically, that UG can help customers benchmark and choose the best models (like our blog post)?
</t>
      </text>
    </comment>
  </commentList>
</comments>
</file>

<file path=xl/sharedStrings.xml><?xml version="1.0" encoding="utf-8"?>
<sst xmlns="http://schemas.openxmlformats.org/spreadsheetml/2006/main" count="252" uniqueCount="132">
  <si>
    <t>AI Governance Maturity — Results</t>
  </si>
  <si>
    <t>AI Governance Maturity Assessment — Choice · Cost · Control</t>
  </si>
  <si>
    <t>Rate each statement 1–5:   1 Not in place   ·   2 Early / ad hoc   ·   3 Partially in place   ·   4 Mostly in place   ·   5 Fully in place</t>
  </si>
  <si>
    <t>#</t>
  </si>
  <si>
    <t>Scores pull automatically from the Assessment tab — enter your 1–5 scores there and this tab updates live. What to do by score:  1–2 → the “If scored 1–2” column  ·  3–4 → “If scored 3–4”  ·  5 → ✅ Validate in POC.  A foundational item scored 1–2 is a ⛔ Blocking Prerequisite; other gaps are 🎯 Prove in Workshop or 🔍 Explore in Accelerator.</t>
  </si>
  <si>
    <t>Statement</t>
  </si>
  <si>
    <t>Your Score (1–5)</t>
  </si>
  <si>
    <t>CHOICE</t>
  </si>
  <si>
    <t>Pillar</t>
  </si>
  <si>
    <t>Avg Score (1–5)</t>
  </si>
  <si>
    <t>Recommended actions</t>
  </si>
  <si>
    <t>We have a central governance layer for our data AND AI assets (models, MCP servers, tools, agents, connections).</t>
  </si>
  <si>
    <t>Choice</t>
  </si>
  <si>
    <t>Access to foundation models / LLMs is centrally controlled, with role or group based access (not per-developer keys).</t>
  </si>
  <si>
    <t>We have a single inventory of which models, MCP servers, agents, and tools are deployed, accessible, and discoverable.</t>
  </si>
  <si>
    <t>We grant and revoke access to AI assets using the same roles/privileges we use for data.</t>
  </si>
  <si>
    <t>⛔ Blocking Prerequisites</t>
  </si>
  <si>
    <t>Access decisions for AI assets are tied to user identity, not just service accounts.</t>
  </si>
  <si>
    <t>Agents access external systems with the requesting user's own permissions (on-behalf-of), not shared or service principal accounts.</t>
  </si>
  <si>
    <t>Model selection is governed by a defined approval process with an owner and we can ban a model provider or family org-wide in a single action (by provider, country of origin, or approval status).</t>
  </si>
  <si>
    <t>Cost</t>
  </si>
  <si>
    <t>Coding-agent model choice and tool access (approved model list, read-vs-write tool restrictions) are defined and enforced centrally.</t>
  </si>
  <si>
    <t>Our AI assets (vendor- or self hosted) are routed through the governed control plane, not connected directly and unmanaged.</t>
  </si>
  <si>
    <t>We have the option to use the latest proprietary and open weight frontier models from leading AI labs</t>
  </si>
  <si>
    <t>🎯 Prove in Workshop</t>
  </si>
  <si>
    <t>COST</t>
  </si>
  <si>
    <t>We have unified visibility into our AI spend across models, providers, teams, and use cases.</t>
  </si>
  <si>
    <t>Control</t>
  </si>
  <si>
    <t>We route each request to an appropriately-priced model and can quantify the savings versus always using the most expensive model.</t>
  </si>
  <si>
    <t>🔍 Explore in Accelerator</t>
  </si>
  <si>
    <t>We can attribute AI cost granularly by user, team, model, tool, use case, or tag.</t>
  </si>
  <si>
    <t>We set and enforce AI budgets at the user, team, workspace, or account level and assign an appropriate owner.</t>
  </si>
  <si>
    <t>We can link AI-completed tasks with AI spend to understand which models are most efficient for our work</t>
  </si>
  <si>
    <t>✅ Validate in POC</t>
  </si>
  <si>
    <t>We enforce rate limits (QPM / TPM) on model and MCP services to manage capacity and cost.</t>
  </si>
  <si>
    <t>We have hard spend caps that automatically halt or throttle requests when a budget is exceeded — not just soft alerts.</t>
  </si>
  <si>
    <t>Overall Score</t>
  </si>
  <si>
    <t>We detect runaway or anomalous AI spend early (retry loops, weekend experiments, sudden 100x spikes).</t>
  </si>
  <si>
    <t>Coding-agent spend is attributable by team, repo, or cost center — not a single vendor invoice line — and we know whether seat-based or token-based is the bigger driver.</t>
  </si>
  <si>
    <t>AI spend spikes tie to an approved business case / owner (purchase-order or chargeback discipline).</t>
  </si>
  <si>
    <t>🚀 Top accelerator fit</t>
  </si>
  <si>
    <t>CONTROL</t>
  </si>
  <si>
    <t>We apply content guardrails / service policies to AI requests AND responses, authored centrally as one layer across the models and services we register.</t>
  </si>
  <si>
    <t>Maturity Level</t>
  </si>
  <si>
    <t>We detect and handle PII/PHI/PCI in AI requests and responses to meet compliance requirements, and we distinguish masking from blocking.</t>
  </si>
  <si>
    <t>We have protections against prompt injection / jailbreak and policy violations, including for customer-facing AI.</t>
  </si>
  <si>
    <t>Hallucination / groundedness requirements are addressed — responses can be flagged or blocked, or required to cite sources.</t>
  </si>
  <si>
    <t>We have a defined policy-authoring process (who decides what counts as a violation, how policies are versioned) with per-use-case or per-agent policies, not one-size-fits-all.</t>
  </si>
  <si>
    <t>We can allow, deny, or require approval (ALLOW / DENY / ASK) for specific AI actions based on user, agent, model, or content.</t>
  </si>
  <si>
    <t>All AI requests, responses, and policy actions are logged for audit; we can demonstrate logs for regulatory obligations (GLBA, HIPAA, FedRAMP, GDPR), scan for leaked secrets, and enforce token rotation / OAuth / secret management.</t>
  </si>
  <si>
    <t>We have end-to-end, developer-level tracing across model and MCP tool activity, attributable to named users and correlated with resource-level access events (who did what, via which agent, to which resource).</t>
  </si>
  <si>
    <t>We have unified dashboards for AI usage, cost, and performance from one source of truth, and AI activity feeds our security information and event management system the way database or application activity does — including external and on-prem AI via a standard protocol (e.g., OpenTelemetry).</t>
  </si>
  <si>
    <t>We use reliability features such as fallbacks, traffic splitting across model versions or families, and regional deployments with automatic failover; coding-agent activity is monitored centrally.</t>
  </si>
  <si>
    <t>Readiness (%)</t>
  </si>
  <si>
    <t>Accelerator</t>
  </si>
  <si>
    <t>Fit (avg gap — higher = better fit)</t>
  </si>
  <si>
    <t>MCP Servers</t>
  </si>
  <si>
    <t>Agents</t>
  </si>
  <si>
    <t>External Providers</t>
  </si>
  <si>
    <t>Coding Agents</t>
  </si>
  <si>
    <t>Policies &amp; Guardrails</t>
  </si>
  <si>
    <t>Skills</t>
  </si>
  <si>
    <t>Maturity ID</t>
  </si>
  <si>
    <t>Type</t>
  </si>
  <si>
    <t>Your score</t>
  </si>
  <si>
    <t>What to do</t>
  </si>
  <si>
    <t>If scored 1–2</t>
  </si>
  <si>
    <t>If scored 3–4</t>
  </si>
  <si>
    <t>If scored 5</t>
  </si>
  <si>
    <t>Gap (5−score)</t>
  </si>
  <si>
    <t>choice_uc_central</t>
  </si>
  <si>
    <t>foundational</t>
  </si>
  <si>
    <t>⛔ Blocking Prerequisite: Unity Catalog enabled with foundation models (+ a catalog &amp; running warehouse)</t>
  </si>
  <si>
    <t>🎯 Prove in Workshop: choice_list_endpoints, choice_model_services, control_agent_service</t>
  </si>
  <si>
    <t>choice_central_model_access</t>
  </si>
  <si>
    <t>⛔ Blocking Prerequisite: Unity AI Gateway enabled on the account and workspace</t>
  </si>
  <si>
    <t>🎯 Prove in Workshop: choice_model_services, choice_default_access</t>
  </si>
  <si>
    <t>choice_single_inventory</t>
  </si>
  <si>
    <t>capability</t>
  </si>
  <si>
    <t>🎯 Prove in Workshop: choice_list_endpoints, control_agent_service</t>
  </si>
  <si>
    <t>choice_same_privileges</t>
  </si>
  <si>
    <t>choice_identity_aware</t>
  </si>
  <si>
    <t>🎯 Prove in Workshop: choice_default_access, control_endpoint_acl</t>
  </si>
  <si>
    <t>choice_obo</t>
  </si>
  <si>
    <t>🎯 Prove in Workshop: control_mcp_policy</t>
  </si>
  <si>
    <t>choice_model_governance</t>
  </si>
  <si>
    <t>🎯 Prove in Workshop: choice_smart_routing</t>
  </si>
  <si>
    <t>choice_coding_agents</t>
  </si>
  <si>
    <t>🔍 Explore in Accelerator: Coding Agents, Skills</t>
  </si>
  <si>
    <t>choice_external_routed</t>
  </si>
  <si>
    <t>⛔ Blocking Prerequisite: Identify existing external providers, obtain a test API key, and allowlist egress [only if external_providers in scope]</t>
  </si>
  <si>
    <t>🔍 Explore in Accelerator: External Providers</t>
  </si>
  <si>
    <t>choice_open_weight_models</t>
  </si>
  <si>
    <t>🎯 Prove in Workshop: use_open_weight_model</t>
  </si>
  <si>
    <t>cost_unified_visibility</t>
  </si>
  <si>
    <t>⛔ Blocking Prerequisite: Grant system.ai_gateway to the app service principal</t>
  </si>
  <si>
    <t>🎯 Prove in Workshop: cost_model_panel, cost_spend_by_model</t>
  </si>
  <si>
    <t>cost_routing</t>
  </si>
  <si>
    <t>🎯 Prove in Workshop: choice_smart_routing, cost_model_panel, cost_routing_compare</t>
  </si>
  <si>
    <t>cost_attribution</t>
  </si>
  <si>
    <t>🎯 Prove in Workshop: cost_spend_by_model, cost_usage</t>
  </si>
  <si>
    <t>cost_budgets</t>
  </si>
  <si>
    <t>🎯 Prove in Workshop: cost_budgets</t>
  </si>
  <si>
    <t>cost_task_spend</t>
  </si>
  <si>
    <t>🎯 Prove in Workshop: cost_usage, cost_task_usage</t>
  </si>
  <si>
    <t>cost_rate_limits</t>
  </si>
  <si>
    <t>🎯 Prove in Workshop: cost_rate_limits</t>
  </si>
  <si>
    <t>cost_hard_caps</t>
  </si>
  <si>
    <t>🎯 Prove in Workshop: cost_rate_limits, cost_budgets</t>
  </si>
  <si>
    <t>cost_anomaly</t>
  </si>
  <si>
    <t>cost_coding_agents</t>
  </si>
  <si>
    <t>🔍 Explore in Accelerator: Coding Agents</t>
  </si>
  <si>
    <t>cost_business_case</t>
  </si>
  <si>
    <t>🎯 Prove in Workshop: cost_team_governance</t>
  </si>
  <si>
    <t>control_guardrails</t>
  </si>
  <si>
    <t>🎯 Prove in Workshop: control_guardrails</t>
  </si>
  <si>
    <t>control_pii</t>
  </si>
  <si>
    <t>⛔ Blocking Prerequisite: External-storage catalog for inference tables, with private networking tested [only if guardrails in scope]</t>
  </si>
  <si>
    <t>control_prompt_injection</t>
  </si>
  <si>
    <t>control_groundedness</t>
  </si>
  <si>
    <t>🔍 Explore in Accelerator: Policies &amp; Guardrails</t>
  </si>
  <si>
    <t>control_policy_authoring</t>
  </si>
  <si>
    <t>control_allow_deny_ask</t>
  </si>
  <si>
    <t>🎯 Prove in Workshop: control_endpoint_acl, control_mcp_policy</t>
  </si>
  <si>
    <t>control_audit_secret</t>
  </si>
  <si>
    <t>⛔ Blocking Prerequisite: Grant system.access to the app service principal</t>
  </si>
  <si>
    <t>🎯 Prove in Workshop: control_governed_endpoint, control_audit</t>
  </si>
  <si>
    <t>control_tracing_correlation</t>
  </si>
  <si>
    <t>🎯 Prove in Workshop: control_audit</t>
  </si>
  <si>
    <t>control_observability_siem</t>
  </si>
  <si>
    <t>🎯 Prove in Workshop: control_governed_endpoint</t>
  </si>
  <si>
    <t>control_reliability</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</si>
</sst>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4.0"/>
      <color rgb="FFFFFFFF"/>
      <name val="Arial"/>
      <scheme val="minor"/>
    </font>
    <font>
      <i/>
      <sz val="10.0"/>
      <color theme="1"/>
      <name val="Arial"/>
      <scheme val="minor"/>
    </font>
    <font>
      <b/>
      <sz val="10.0"/>
      <color rgb="FFFFFFFF"/>
      <name val="Arial"/>
      <scheme val="minor"/>
    </font>
    <font>
      <b/>
      <color theme="1"/>
      <name val="Arial"/>
      <scheme val="minor"/>
    </font>
    <font>
      <sz val="10.0"/>
      <color theme="1"/>
      <name val="Arial"/>
      <scheme val="minor"/>
    </font>
    <font>
      <color theme="1"/>
      <name val="Arial"/>
      <scheme val="minor"/>
    </font>
    <font>
      <b/>
      <sz val="12.0"/>
      <color rgb="FFFFFFFF"/>
      <name val="Arial"/>
      <scheme val="minor"/>
    </font>
    <font>
      <b/>
      <color rgb="FFFFFFFF"/>
      <name val="Arial"/>
      <scheme val="minor"/>
    </font>
  </fonts>
  <fills count="14">
    <fill>
      <patternFill patternType="none"/>
    </fill>
    <fill>
      <patternFill patternType="lightGray"/>
    </fill>
    <fill>
      <patternFill patternType="solid">
        <fgColor rgb="FF2B3D4F"/>
        <bgColor rgb="FF2B3D4F"/>
      </patternFill>
    </fill>
    <fill>
      <patternFill patternType="solid">
        <fgColor rgb="FF32323C"/>
        <bgColor rgb="FF32323C"/>
      </patternFill>
    </fill>
    <fill>
      <patternFill patternType="solid">
        <fgColor rgb="FFF0F1F7"/>
        <bgColor rgb="FFF0F1F7"/>
      </patternFill>
    </fill>
    <fill>
      <patternFill patternType="solid">
        <fgColor rgb="FFEFF4FF"/>
        <bgColor rgb="FFEFF4FF"/>
      </patternFill>
    </fill>
    <fill>
      <patternFill patternType="solid">
        <fgColor rgb="FF1A3A5C"/>
        <bgColor rgb="FF1A3A5C"/>
      </patternFill>
    </fill>
    <fill>
      <patternFill patternType="solid">
        <fgColor rgb="FFE7F0FB"/>
        <bgColor rgb="FFE7F0FB"/>
      </patternFill>
    </fill>
    <fill>
      <patternFill patternType="solid">
        <fgColor rgb="FFFFFDE6"/>
        <bgColor rgb="FFFFFDE6"/>
      </patternFill>
    </fill>
    <fill>
      <patternFill patternType="solid">
        <fgColor rgb="FFFFFFFF"/>
        <bgColor rgb="FFFFFFFF"/>
      </patternFill>
    </fill>
    <fill>
      <patternFill patternType="solid">
        <fgColor rgb="FF0D5C5C"/>
        <bgColor rgb="FF0D5C5C"/>
      </patternFill>
    </fill>
    <fill>
      <patternFill patternType="solid">
        <fgColor rgb="FFE7F7F7"/>
        <bgColor rgb="FFE7F7F7"/>
      </patternFill>
    </fill>
    <fill>
      <patternFill patternType="solid">
        <fgColor rgb="FF4A1A79"/>
        <bgColor rgb="FF4A1A79"/>
      </patternFill>
    </fill>
    <fill>
      <patternFill patternType="solid">
        <fgColor rgb="FFF2E7FB"/>
        <bgColor rgb="FFF2E7FB"/>
      </patternFill>
    </fill>
  </fills>
  <borders count="10">
    <border/>
    <border>
      <right style="thin">
        <color rgb="FFCCCCCC"/>
      </right>
      <bottom style="thin">
        <color rgb="FFCCCCCC"/>
      </bottom>
    </border>
    <border>
      <left style="thin">
        <color rgb="FFCCCCCC"/>
      </left>
      <right style="thin">
        <color rgb="FFCCCCCC"/>
      </right>
      <bottom style="thin">
        <color rgb="FFCCCCCC"/>
      </bottom>
    </border>
    <border>
      <left style="thin">
        <color rgb="FFCCCCCC"/>
      </left>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right style="thin">
        <color rgb="FFCCCCCC"/>
      </right>
      <top style="thin">
        <color rgb="FFCCCCCC"/>
      </top>
    </border>
    <border>
      <left style="thin">
        <color rgb="FFCCCCCC"/>
      </left>
      <right style="thin">
        <color rgb="FFCCCCCC"/>
      </right>
      <top style="thin">
        <color rgb="FFCCCCCC"/>
      </top>
    </border>
    <border>
      <left style="thin">
        <color rgb="FFCCCCCC"/>
      </left>
      <top style="thin">
        <color rgb="FFCCCCCC"/>
      </top>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3" fontId="1" numFmtId="0" xfId="0" applyAlignment="1" applyFill="1" applyFont="1">
      <alignment readingOrder="0"/>
    </xf>
    <xf borderId="0" fillId="2" fontId="1" numFmtId="0" xfId="0" applyAlignment="1" applyFill="1" applyFont="1">
      <alignment horizontal="left" readingOrder="0" vertical="center"/>
    </xf>
    <xf borderId="0" fillId="4" fontId="2" numFmtId="0" xfId="0" applyAlignment="1" applyFill="1" applyFont="1">
      <alignment readingOrder="0"/>
    </xf>
    <xf borderId="0" fillId="3" fontId="3" numFmtId="0" xfId="0" applyAlignment="1" applyFill="1" applyFont="1">
      <alignment horizontal="center" readingOrder="0"/>
    </xf>
    <xf borderId="0" fillId="3" fontId="3" numFmtId="0" xfId="0" applyAlignment="1" applyFill="1" applyFont="1">
      <alignment readingOrder="0"/>
    </xf>
    <xf borderId="0" fillId="5" fontId="2" numFmtId="0" xfId="0" applyAlignment="1" applyFill="1" applyFont="1">
      <alignment readingOrder="0" shrinkToFit="0" vertical="center" wrapText="1"/>
    </xf>
    <xf borderId="0" fillId="0" fontId="4" numFmtId="0" xfId="0" applyAlignment="1" applyFont="1">
      <alignment readingOrder="0"/>
    </xf>
    <xf borderId="0" fillId="6" fontId="3" numFmtId="0" xfId="0" applyAlignment="1" applyFill="1" applyFont="1">
      <alignment horizontal="center" readingOrder="0"/>
    </xf>
    <xf borderId="0" fillId="0" fontId="4" numFmtId="0" xfId="0" applyAlignment="1" applyFont="1">
      <alignment horizontal="left" readingOrder="0"/>
    </xf>
    <xf borderId="0" fillId="7" fontId="5" numFmtId="0" xfId="0" applyAlignment="1" applyFill="1" applyFont="1">
      <alignment horizontal="center" readingOrder="0" vertical="center"/>
    </xf>
    <xf borderId="0" fillId="0" fontId="4" numFmtId="0" xfId="0" applyFont="1"/>
    <xf borderId="0" fillId="7" fontId="5" numFmtId="0" xfId="0" applyAlignment="1" applyFill="1" applyFont="1">
      <alignment readingOrder="0" shrinkToFit="0" vertical="center" wrapText="1"/>
    </xf>
    <xf borderId="0" fillId="0" fontId="6" numFmtId="0" xfId="0" applyAlignment="1" applyFont="1">
      <alignment readingOrder="0"/>
    </xf>
    <xf borderId="0" fillId="8" fontId="5" numFmtId="0" xfId="0" applyAlignment="1" applyFill="1" applyFont="1">
      <alignment horizontal="center" readingOrder="0" vertical="center"/>
    </xf>
    <xf borderId="0" fillId="9" fontId="5" numFmtId="0" xfId="0" applyAlignment="1" applyFill="1" applyFont="1">
      <alignment horizontal="center" readingOrder="0" vertical="center"/>
    </xf>
    <xf borderId="0" fillId="9" fontId="5" numFmtId="0" xfId="0" applyAlignment="1" applyFill="1" applyFont="1">
      <alignment readingOrder="0" shrinkToFit="0" vertical="center" wrapText="1"/>
    </xf>
    <xf borderId="0" fillId="0" fontId="6" numFmtId="2" xfId="0" applyAlignment="1" applyFont="1" applyNumberFormat="1">
      <alignment horizontal="left"/>
    </xf>
    <xf borderId="0" fillId="0" fontId="6" numFmtId="0" xfId="0" applyFont="1"/>
    <xf borderId="0" fillId="10" fontId="7" numFmtId="0" xfId="0" applyAlignment="1" applyFill="1" applyFont="1">
      <alignment horizontal="center" readingOrder="0"/>
    </xf>
    <xf borderId="0" fillId="11" fontId="6" numFmtId="0" xfId="0" applyAlignment="1" applyFill="1" applyFont="1">
      <alignment horizontal="center" readingOrder="0" vertical="center"/>
    </xf>
    <xf borderId="0" fillId="11" fontId="6" numFmtId="0" xfId="0" applyAlignment="1" applyFill="1" applyFont="1">
      <alignment readingOrder="0" shrinkToFit="0" vertical="center" wrapText="1"/>
    </xf>
    <xf borderId="0" fillId="8" fontId="6" numFmtId="0" xfId="0" applyAlignment="1" applyFill="1" applyFont="1">
      <alignment horizontal="center" readingOrder="0" vertical="center"/>
    </xf>
    <xf borderId="0" fillId="9" fontId="6" numFmtId="0" xfId="0" applyAlignment="1" applyFill="1" applyFont="1">
      <alignment horizontal="center" readingOrder="0" vertical="center"/>
    </xf>
    <xf borderId="0" fillId="9" fontId="6" numFmtId="0" xfId="0" applyAlignment="1" applyFill="1" applyFont="1">
      <alignment readingOrder="0" shrinkToFit="0" vertical="center" wrapText="1"/>
    </xf>
    <xf borderId="0" fillId="0" fontId="4" numFmtId="2" xfId="0" applyAlignment="1" applyFont="1" applyNumberFormat="1">
      <alignment horizontal="left"/>
    </xf>
    <xf borderId="0" fillId="12" fontId="7" numFmtId="0" xfId="0" applyAlignment="1" applyFill="1" applyFont="1">
      <alignment horizontal="center" readingOrder="0"/>
    </xf>
    <xf borderId="0" fillId="13" fontId="6" numFmtId="0" xfId="0" applyAlignment="1" applyFill="1" applyFont="1">
      <alignment horizontal="center" readingOrder="0" vertical="center"/>
    </xf>
    <xf borderId="0" fillId="13" fontId="6" numFmtId="0" xfId="0" applyAlignment="1" applyFill="1" applyFont="1">
      <alignment readingOrder="0" shrinkToFit="0" vertical="center" wrapText="1"/>
    </xf>
    <xf borderId="0" fillId="0" fontId="6" numFmtId="2" xfId="0" applyAlignment="1" applyFont="1" applyNumberFormat="1">
      <alignment horizontal="center"/>
    </xf>
    <xf borderId="1" fillId="2" fontId="8" numFmtId="0" xfId="0" applyAlignment="1" applyBorder="1" applyFill="1" applyFont="1">
      <alignment horizontal="center" readingOrder="0" shrinkToFit="0" vertical="center" wrapText="1"/>
    </xf>
    <xf borderId="2" fillId="2" fontId="8" numFmtId="0" xfId="0" applyAlignment="1" applyBorder="1" applyFill="1" applyFont="1">
      <alignment horizontal="center" readingOrder="0" shrinkToFit="0" vertical="center" wrapText="1"/>
    </xf>
    <xf borderId="3" fillId="2" fontId="8" numFmtId="0" xfId="0" applyAlignment="1" applyBorder="1" applyFill="1" applyFont="1">
      <alignment horizontal="center" readingOrder="0" shrinkToFit="0" vertical="center" wrapText="1"/>
    </xf>
    <xf borderId="4" fillId="0" fontId="6" numFmtId="0" xfId="0" applyAlignment="1" applyBorder="1" applyFont="1">
      <alignment readingOrder="0" shrinkToFit="0" vertical="top" wrapText="1"/>
    </xf>
    <xf borderId="5" fillId="0" fontId="6" numFmtId="0" xfId="0" applyAlignment="1" applyBorder="1" applyFont="1">
      <alignment readingOrder="0" shrinkToFit="0" vertical="top" wrapText="1"/>
    </xf>
    <xf borderId="5" fillId="0" fontId="6" numFmtId="0" xfId="0" applyAlignment="1" applyBorder="1" applyFont="1">
      <alignment shrinkToFit="0" vertical="top" wrapText="1"/>
    </xf>
    <xf borderId="5" fillId="0" fontId="6" numFmtId="0" xfId="0" applyAlignment="1" applyBorder="1" applyFont="1">
      <alignment horizontal="center" readingOrder="0" shrinkToFit="0" vertical="top" wrapText="1"/>
    </xf>
    <xf borderId="5" fillId="0" fontId="6" numFmtId="0" xfId="0" applyAlignment="1" applyBorder="1" applyFont="1">
      <alignment horizontal="center" shrinkToFit="0" vertical="top" wrapText="1"/>
    </xf>
    <xf borderId="6" fillId="0" fontId="6" numFmtId="0" xfId="0" applyAlignment="1" applyBorder="1" applyFont="1">
      <alignment horizontal="center" shrinkToFit="0" vertical="top" wrapText="1"/>
    </xf>
    <xf borderId="7" fillId="0" fontId="6" numFmtId="0" xfId="0" applyAlignment="1" applyBorder="1" applyFont="1">
      <alignment readingOrder="0" shrinkToFit="0" vertical="top" wrapText="1"/>
    </xf>
    <xf borderId="8" fillId="0" fontId="6" numFmtId="0" xfId="0" applyAlignment="1" applyBorder="1" applyFont="1">
      <alignment readingOrder="0" shrinkToFit="0" vertical="top" wrapText="1"/>
    </xf>
    <xf borderId="8" fillId="0" fontId="6" numFmtId="0" xfId="0" applyAlignment="1" applyBorder="1" applyFont="1">
      <alignment shrinkToFit="0" vertical="top" wrapText="1"/>
    </xf>
    <xf borderId="8" fillId="0" fontId="6" numFmtId="0" xfId="0" applyAlignment="1" applyBorder="1" applyFont="1">
      <alignment horizontal="center" readingOrder="0" shrinkToFit="0" vertical="top" wrapText="1"/>
    </xf>
    <xf borderId="8" fillId="0" fontId="6" numFmtId="0" xfId="0" applyAlignment="1" applyBorder="1" applyFont="1">
      <alignment horizontal="center" shrinkToFit="0" vertical="top" wrapText="1"/>
    </xf>
    <xf borderId="9" fillId="0" fontId="6" numFmtId="0" xfId="0" applyAlignment="1" applyBorder="1" applyFont="1">
      <alignment horizontal="center" shrinkToFit="0" vertical="top" wrapText="1"/>
    </xf>
    <xf borderId="0" fillId="0" fontId="5" numFmtId="0" xfId="0" applyFont="1"/>
  </cellXfs>
  <cellStyles count="1">
    <cellStyle xfId="0" name="Normal" builtinId="0"/>
  </cellStyles>
  <dxfs count="3">
    <dxf>
      <font/>
      <fill>
        <patternFill patternType="solid">
          <fgColor rgb="FFF4CCCC"/>
          <bgColor rgb="FFF4CCCC"/>
        </patternFill>
      </fill>
      <border/>
    </dxf>
    <dxf>
      <font/>
      <fill>
        <patternFill patternType="solid">
          <fgColor rgb="FFFFF0CC"/>
          <bgColor rgb="FFFFF0CC"/>
        </patternFill>
      </fill>
      <border/>
    </dxf>
    <dxf>
      <font/>
      <fill>
        <patternFill patternType="solid">
          <fgColor rgb="FFB6D5A8"/>
          <bgColor rgb="FFB6D5A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im Lortz" id="{54c3b915-23d1-4bbb-8ddb-149e80ab8381}" providerId="google-sheets"/>
  <x18tc:person displayName="Scott McKean" id="{3d4e84c0-5440-4965-a314-e2b949343ff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5" dT="2026-09-08T22:55:17.00" personId="{54c3b915-23d1-4bbb-8ddb-149e80ab8381}" id="{03f6c643-ad7c-44ae-8039-cb7164dad4b9}" done="1">
    <x18tc:text xml:space="preserve">Isn't this redundant with 3? Also, this list feels like we might be missing the 800-lb gorilla: "We have the option to use the latest proprietary and open weight frontier models from leading AI labs" or similar</x18tc:text>
  </x18tc:threadedComment>
  <x18tc:threadedComment ref="B15" dT="2026-09-09T03:55:28.00" personId="{3d4e84c0-5440-4965-a314-e2b949343ff7}" id="{465c6c9e-18f9-4cac-a7b7-2e1542771ebb}" parentId="{03f6c643-ad7c-44ae-8039-cb7164dad4b9}">
    <x18tc:text xml:space="preserve">totes</x18tc:text>
  </x18tc:threadedComment>
  <x18tc:threadedComment ref="B22" dT="2026-09-08T23:04:37.00" personId="{54c3b915-23d1-4bbb-8ddb-149e80ab8381}" id="{4079bb7d-5d0e-4823-b1a8-952fc048baae}" done="1">
    <x18tc:text xml:space="preserve">Redundant with 19? What about including something like "We can link AI-completed tasks with AI spend to understand which models are most efficient for our work" - basically, that UG can help customers benchmark and choose the best models (like our blog post)?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A5C"/>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5.63"/>
    <col customWidth="1" min="2" max="2" width="79.0"/>
    <col customWidth="1" min="3" max="3" width="18.13"/>
    <col customWidth="1" min="4" max="4" width="20.5"/>
  </cols>
  <sheetData>
    <row r="1" ht="36.0" customHeight="1">
      <c r="A1" s="1" t="s">
        <v>1</v>
      </c>
    </row>
    <row r="2" ht="27.0" customHeight="1">
      <c r="A2" s="3" t="s">
        <v>2</v>
      </c>
    </row>
    <row r="3" ht="6.0" customHeight="1"/>
    <row r="4" ht="21.0" customHeight="1">
      <c r="A4" s="4" t="s">
        <v>3</v>
      </c>
      <c r="B4" s="5" t="s">
        <v>5</v>
      </c>
      <c r="C4" s="4" t="s">
        <v>6</v>
      </c>
    </row>
    <row r="5" ht="22.5" customHeight="1">
      <c r="A5" s="8" t="s">
        <v>7</v>
      </c>
    </row>
    <row r="6" ht="43.5" customHeight="1">
      <c r="A6" s="10">
        <v>1.0</v>
      </c>
      <c r="B6" s="12" t="s">
        <v>11</v>
      </c>
      <c r="C6" s="14">
        <v>1.0</v>
      </c>
    </row>
    <row r="7" ht="43.5" customHeight="1">
      <c r="A7" s="15">
        <v>2.0</v>
      </c>
      <c r="B7" s="16" t="s">
        <v>13</v>
      </c>
      <c r="C7" s="14">
        <v>2.0</v>
      </c>
    </row>
    <row r="8" ht="43.5" customHeight="1">
      <c r="A8" s="10">
        <v>3.0</v>
      </c>
      <c r="B8" s="12" t="s">
        <v>14</v>
      </c>
      <c r="C8" s="14">
        <v>3.0</v>
      </c>
    </row>
    <row r="9" ht="43.5" customHeight="1">
      <c r="A9" s="15">
        <v>4.0</v>
      </c>
      <c r="B9" s="16" t="s">
        <v>15</v>
      </c>
      <c r="C9" s="14">
        <v>4.0</v>
      </c>
    </row>
    <row r="10" ht="43.5" customHeight="1">
      <c r="A10" s="10">
        <v>5.0</v>
      </c>
      <c r="B10" s="12" t="s">
        <v>17</v>
      </c>
      <c r="C10" s="14">
        <v>5.0</v>
      </c>
    </row>
    <row r="11" ht="43.5" customHeight="1">
      <c r="A11" s="15">
        <v>6.0</v>
      </c>
      <c r="B11" s="16" t="s">
        <v>18</v>
      </c>
      <c r="C11" s="14">
        <v>1.0</v>
      </c>
    </row>
    <row r="12" ht="43.5" customHeight="1">
      <c r="A12" s="10">
        <v>7.0</v>
      </c>
      <c r="B12" s="12" t="s">
        <v>19</v>
      </c>
      <c r="C12" s="14">
        <v>2.0</v>
      </c>
    </row>
    <row r="13" ht="43.5" customHeight="1">
      <c r="A13" s="15">
        <v>8.0</v>
      </c>
      <c r="B13" s="16" t="s">
        <v>21</v>
      </c>
      <c r="C13" s="14">
        <v>3.0</v>
      </c>
    </row>
    <row r="14" ht="43.5" customHeight="1">
      <c r="A14" s="10">
        <v>9.0</v>
      </c>
      <c r="B14" s="12" t="s">
        <v>22</v>
      </c>
      <c r="C14" s="14">
        <v>4.0</v>
      </c>
    </row>
    <row r="15" ht="43.5" customHeight="1">
      <c r="A15" s="15">
        <v>10.0</v>
      </c>
      <c r="B15" s="16" t="s">
        <v>23</v>
      </c>
      <c r="C15" s="14">
        <v>4.0</v>
      </c>
    </row>
    <row r="16" ht="7.5" customHeight="1"/>
    <row r="17" ht="22.5" customHeight="1">
      <c r="A17" s="19" t="s">
        <v>25</v>
      </c>
    </row>
    <row r="18" ht="43.5" customHeight="1">
      <c r="A18" s="20">
        <v>11.0</v>
      </c>
      <c r="B18" s="21" t="s">
        <v>26</v>
      </c>
      <c r="C18" s="22">
        <v>1.0</v>
      </c>
    </row>
    <row r="19" ht="43.5" customHeight="1">
      <c r="A19" s="23">
        <v>12.0</v>
      </c>
      <c r="B19" s="24" t="s">
        <v>28</v>
      </c>
      <c r="C19" s="22">
        <v>2.0</v>
      </c>
    </row>
    <row r="20" ht="43.5" customHeight="1">
      <c r="A20" s="20">
        <v>13.0</v>
      </c>
      <c r="B20" s="21" t="s">
        <v>30</v>
      </c>
      <c r="C20" s="22">
        <v>3.0</v>
      </c>
    </row>
    <row r="21" ht="43.5" customHeight="1">
      <c r="A21" s="23">
        <v>14.0</v>
      </c>
      <c r="B21" s="24" t="s">
        <v>31</v>
      </c>
      <c r="C21" s="22">
        <v>4.0</v>
      </c>
    </row>
    <row r="22" ht="43.5" customHeight="1">
      <c r="A22" s="20">
        <v>15.0</v>
      </c>
      <c r="B22" s="21" t="s">
        <v>32</v>
      </c>
      <c r="C22" s="22">
        <v>5.0</v>
      </c>
    </row>
    <row r="23" ht="43.5" customHeight="1">
      <c r="A23" s="23">
        <v>16.0</v>
      </c>
      <c r="B23" s="24" t="s">
        <v>34</v>
      </c>
      <c r="C23" s="22">
        <v>1.0</v>
      </c>
    </row>
    <row r="24" ht="43.5" customHeight="1">
      <c r="A24" s="20">
        <v>17.0</v>
      </c>
      <c r="B24" s="21" t="s">
        <v>35</v>
      </c>
      <c r="C24" s="22">
        <v>1.0</v>
      </c>
    </row>
    <row r="25" ht="43.5" customHeight="1">
      <c r="A25" s="23">
        <v>18.0</v>
      </c>
      <c r="B25" s="24" t="s">
        <v>37</v>
      </c>
      <c r="C25" s="22">
        <v>1.0</v>
      </c>
    </row>
    <row r="26" ht="43.5" customHeight="1">
      <c r="A26" s="20">
        <v>19.0</v>
      </c>
      <c r="B26" s="21" t="s">
        <v>38</v>
      </c>
      <c r="C26" s="22">
        <v>1.0</v>
      </c>
    </row>
    <row r="27" ht="43.5" customHeight="1">
      <c r="A27" s="23">
        <v>20.0</v>
      </c>
      <c r="B27" s="24" t="s">
        <v>39</v>
      </c>
      <c r="C27" s="22">
        <v>1.0</v>
      </c>
    </row>
    <row r="28" ht="7.5" customHeight="1"/>
    <row r="29" ht="22.5" customHeight="1">
      <c r="A29" s="26" t="s">
        <v>41</v>
      </c>
    </row>
    <row r="30" ht="43.5" customHeight="1">
      <c r="A30" s="27">
        <v>21.0</v>
      </c>
      <c r="B30" s="28" t="s">
        <v>42</v>
      </c>
      <c r="C30" s="22">
        <v>1.0</v>
      </c>
    </row>
    <row r="31" ht="43.5" customHeight="1">
      <c r="A31" s="23">
        <v>22.0</v>
      </c>
      <c r="B31" s="24" t="s">
        <v>44</v>
      </c>
      <c r="C31" s="22">
        <v>1.0</v>
      </c>
    </row>
    <row r="32" ht="43.5" customHeight="1">
      <c r="A32" s="27">
        <v>23.0</v>
      </c>
      <c r="B32" s="28" t="s">
        <v>45</v>
      </c>
      <c r="C32" s="22">
        <v>1.0</v>
      </c>
    </row>
    <row r="33" ht="43.5" customHeight="1">
      <c r="A33" s="23">
        <v>24.0</v>
      </c>
      <c r="B33" s="24" t="s">
        <v>46</v>
      </c>
      <c r="C33" s="22">
        <v>1.0</v>
      </c>
    </row>
    <row r="34" ht="43.5" customHeight="1">
      <c r="A34" s="27">
        <v>25.0</v>
      </c>
      <c r="B34" s="28" t="s">
        <v>47</v>
      </c>
      <c r="C34" s="22">
        <v>1.0</v>
      </c>
    </row>
    <row r="35" ht="43.5" customHeight="1">
      <c r="A35" s="23">
        <v>26.0</v>
      </c>
      <c r="B35" s="24" t="s">
        <v>48</v>
      </c>
      <c r="C35" s="22">
        <v>1.0</v>
      </c>
    </row>
    <row r="36" ht="43.5" customHeight="1">
      <c r="A36" s="27">
        <v>27.0</v>
      </c>
      <c r="B36" s="28" t="s">
        <v>49</v>
      </c>
      <c r="C36" s="22">
        <v>2.0</v>
      </c>
    </row>
    <row r="37" ht="43.5" customHeight="1">
      <c r="A37" s="23">
        <v>28.0</v>
      </c>
      <c r="B37" s="24" t="s">
        <v>50</v>
      </c>
      <c r="C37" s="22">
        <v>1.0</v>
      </c>
    </row>
    <row r="38" ht="43.5" customHeight="1">
      <c r="A38" s="27">
        <v>29.0</v>
      </c>
      <c r="B38" s="28" t="s">
        <v>51</v>
      </c>
      <c r="C38" s="22">
        <v>1.0</v>
      </c>
    </row>
    <row r="39" ht="43.5" customHeight="1">
      <c r="A39" s="23">
        <v>30.0</v>
      </c>
      <c r="B39" s="24" t="s">
        <v>52</v>
      </c>
      <c r="C39" s="22">
        <v>1.0</v>
      </c>
    </row>
  </sheetData>
  <mergeCells count="5">
    <mergeCell ref="A1:C1"/>
    <mergeCell ref="A2:C2"/>
    <mergeCell ref="A5:C5"/>
    <mergeCell ref="A17:C17"/>
    <mergeCell ref="A29:C29"/>
  </mergeCells>
  <dataValidations>
    <dataValidation type="decimal" allowBlank="1" showInputMessage="1" showErrorMessage="1" prompt="Score 1 (not in place) to 5 (fully in place)" sqref="C6:C15 C18:C27 C30:C39">
      <formula1>1.0</formula1>
      <formula2>5.0</formula2>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9.0" topLeftCell="A20" activePane="bottomLeft" state="frozen"/>
      <selection activeCell="B21" sqref="B21" pane="bottomLeft"/>
    </sheetView>
  </sheetViews>
  <sheetFormatPr customHeight="1" defaultColWidth="12.63" defaultRowHeight="15.75"/>
  <cols>
    <col customWidth="1" min="1" max="1" width="12.75"/>
    <col customWidth="1" min="2" max="2" width="22.0"/>
    <col customWidth="1" min="3" max="3" width="50.13"/>
    <col customWidth="1" min="4" max="4" width="12.0"/>
    <col customWidth="1" min="5" max="5" width="9.5"/>
    <col customWidth="1" min="6" max="6" width="34.75"/>
    <col customWidth="1" min="7" max="8" width="31.38"/>
    <col customWidth="1" min="9" max="9" width="18.88"/>
    <col customWidth="1" min="10" max="10" width="11.38"/>
  </cols>
  <sheetData>
    <row r="1" ht="25.5" customHeight="1">
      <c r="A1" s="2" t="s">
        <v>0</v>
      </c>
    </row>
    <row r="2" ht="37.5" customHeight="1">
      <c r="A2" s="6" t="s">
        <v>4</v>
      </c>
    </row>
    <row r="4">
      <c r="A4" s="7" t="s">
        <v>8</v>
      </c>
      <c r="B4" s="9" t="s">
        <v>9</v>
      </c>
      <c r="C4" s="7" t="s">
        <v>10</v>
      </c>
      <c r="D4" s="11"/>
      <c r="E4" s="11"/>
      <c r="F4" s="11"/>
      <c r="G4" s="11"/>
      <c r="H4" s="11"/>
      <c r="I4" s="11"/>
      <c r="J4" s="11"/>
    </row>
    <row r="5">
      <c r="A5" s="13" t="s">
        <v>12</v>
      </c>
      <c r="B5" s="17">
        <f>IFERROR(AVERAGE(Assessment!C6:C15),"—")</f>
        <v>2.9</v>
      </c>
      <c r="C5" s="13" t="s">
        <v>16</v>
      </c>
      <c r="D5" s="18">
        <f>SUMPRODUCT(--ISNUMBER(SEARCH("Blocking Prerequisite",$F$20:$F$49)))</f>
        <v>5</v>
      </c>
    </row>
    <row r="6">
      <c r="A6" s="13" t="s">
        <v>20</v>
      </c>
      <c r="B6" s="17">
        <f>IFERROR(AVERAGE(Assessment!C18:C27),"—")</f>
        <v>2</v>
      </c>
      <c r="C6" s="13" t="s">
        <v>24</v>
      </c>
      <c r="D6" s="18">
        <f>SUMPRODUCT(--ISNUMBER(SEARCH("Prove in Workshop",$F$20:$F$49)))</f>
        <v>19</v>
      </c>
    </row>
    <row r="7">
      <c r="A7" s="13" t="s">
        <v>27</v>
      </c>
      <c r="B7" s="17">
        <f>IFERROR(AVERAGE(Assessment!C30:C39),"—")</f>
        <v>1.1</v>
      </c>
      <c r="C7" s="13" t="s">
        <v>29</v>
      </c>
      <c r="D7" s="18">
        <f>SUMPRODUCT(--ISNUMBER(SEARCH("Explore in Accelerator",$F$20:$F$49)))</f>
        <v>4</v>
      </c>
    </row>
    <row r="8">
      <c r="C8" s="13" t="s">
        <v>33</v>
      </c>
      <c r="D8" s="18">
        <f>SUMPRODUCT(--ISNUMBER(SEARCH("Validate in POC",$F$20:$F$49)))</f>
        <v>2</v>
      </c>
    </row>
    <row r="9">
      <c r="A9" s="7" t="s">
        <v>36</v>
      </c>
      <c r="B9" s="25">
        <f>IFERROR(AVERAGE(Assessment!C6:C15,Assessment!C18:C27,Assessment!C30:C39),"—")</f>
        <v>2</v>
      </c>
      <c r="C9" s="13" t="s">
        <v>40</v>
      </c>
      <c r="D9" s="18" t="str">
        <f t="array" ref="D9">IFERROR(INDEX($C$12:$C$17,MATCH(MAX($D$12:$D$17),$D$12:$D$17,0)),"—")</f>
        <v>Policies &amp; Guardrails</v>
      </c>
    </row>
    <row r="10">
      <c r="A10" s="7" t="s">
        <v>43</v>
      </c>
      <c r="B10" s="18" t="str">
        <f>IF(NOT(ISNUMBER($B$9)),"— (no scores yet)",IFS($B$9&gt;=4.5,"L5 · Optimised",$B$9&gt;=4,"L4 · Managed",$B$9&gt;=3,"L3 · Established",$B$9&gt;=2,"L2 · Developing",$B$9&gt;=1,"L1 · Ad hoc / Ungoverned"))</f>
        <v>L2 · Developing</v>
      </c>
    </row>
    <row r="11">
      <c r="A11" s="7" t="s">
        <v>53</v>
      </c>
      <c r="B11" s="18" t="str">
        <f>IFERROR(TEXT($B$9/5*100,"0.0")&amp;"%","—")</f>
        <v>40.0%</v>
      </c>
      <c r="C11" s="7" t="s">
        <v>54</v>
      </c>
      <c r="D11" s="7" t="s">
        <v>55</v>
      </c>
    </row>
    <row r="12">
      <c r="C12" s="13" t="s">
        <v>56</v>
      </c>
      <c r="D12" s="29">
        <f>IFERROR(ROUND(SUMPRODUCT((($B$20:$B$49="choice_obo")+($B$20:$B$49="control_allow_deny_ask")+($B$20:$B$49="choice_single_inventory"))*N($J$20:$J$49))/SUMPRODUCT((($B$20:$B$49="choice_obo")+($B$20:$B$49="control_allow_deny_ask")+($B$20:$B$49="choice_single_inventory"))*($J$20:$J$49&lt;&gt;"")),2),"")</f>
        <v>3.33</v>
      </c>
    </row>
    <row r="13">
      <c r="C13" s="13" t="s">
        <v>57</v>
      </c>
      <c r="D13" s="29">
        <f>IFERROR(ROUND(SUMPRODUCT((($B$20:$B$49="choice_single_inventory")+($B$20:$B$49="choice_uc_central")+($B$20:$B$49="control_tracing_correlation")+($B$20:$B$49="choice_cross_platform_inventory"))*N($J$20:$J$49))/SUMPRODUCT((($B$20:$B$49="choice_single_inventory")+($B$20:$B$49="choice_uc_central")+($B$20:$B$49="control_tracing_correlation")+($B$20:$B$49="choice_cross_platform_inventory"))*($J$20:$J$49&lt;&gt;"")),2),"")</f>
        <v>3.33</v>
      </c>
      <c r="F13" s="11"/>
      <c r="G13" s="11"/>
      <c r="H13" s="11"/>
      <c r="I13" s="11"/>
      <c r="J13" s="11"/>
    </row>
    <row r="14">
      <c r="C14" s="13" t="s">
        <v>58</v>
      </c>
      <c r="D14" s="29">
        <f>IFERROR(ROUND(SUMPRODUCT((($B$20:$B$49="choice_external_routed")+($B$20:$B$49="choice_model_governance")+($B$20:$B$49="control_audit_secret"))*N($J$20:$J$49))/SUMPRODUCT((($B$20:$B$49="choice_external_routed")+($B$20:$B$49="choice_model_governance")+($B$20:$B$49="control_audit_secret"))*($J$20:$J$49&lt;&gt;"")),2),"")</f>
        <v>2.33</v>
      </c>
    </row>
    <row r="15">
      <c r="C15" s="13" t="s">
        <v>59</v>
      </c>
      <c r="D15" s="29">
        <f>IFERROR(ROUND(SUMPRODUCT((($B$20:$B$49="choice_coding_agents")+($B$20:$B$49="cost_coding_agents")+($B$20:$B$49="cost_rate_limits"))*N($J$20:$J$49))/SUMPRODUCT((($B$20:$B$49="choice_coding_agents")+($B$20:$B$49="cost_coding_agents")+($B$20:$B$49="cost_rate_limits"))*($J$20:$J$49&lt;&gt;"")),2),"")</f>
        <v>3.33</v>
      </c>
    </row>
    <row r="16">
      <c r="C16" s="13" t="s">
        <v>60</v>
      </c>
      <c r="D16" s="29">
        <f>IFERROR(ROUND(SUMPRODUCT((($B$20:$B$49="control_guardrails")+($B$20:$B$49="control_pii")+($B$20:$B$49="control_prompt_injection")+($B$20:$B$49="control_groundedness"))*N($J$20:$J$49))/SUMPRODUCT((($B$20:$B$49="control_guardrails")+($B$20:$B$49="control_pii")+($B$20:$B$49="control_prompt_injection")+($B$20:$B$49="control_groundedness"))*($J$20:$J$49&lt;&gt;"")),2),"")</f>
        <v>4</v>
      </c>
    </row>
    <row r="17">
      <c r="C17" s="13" t="s">
        <v>61</v>
      </c>
      <c r="D17" s="29">
        <f>IFERROR(ROUND(SUMPRODUCT((($B$20:$B$49="choice_coding_agents")+($B$20:$B$49="control_policy_authoring"))*N($J$20:$J$49))/SUMPRODUCT((($B$20:$B$49="choice_coding_agents")+($B$20:$B$49="control_policy_authoring"))*($J$20:$J$49&lt;&gt;"")),2),"")</f>
        <v>3</v>
      </c>
    </row>
    <row r="19">
      <c r="A19" s="30" t="s">
        <v>8</v>
      </c>
      <c r="B19" s="31" t="s">
        <v>62</v>
      </c>
      <c r="C19" s="31" t="s">
        <v>5</v>
      </c>
      <c r="D19" s="31" t="s">
        <v>63</v>
      </c>
      <c r="E19" s="31" t="s">
        <v>64</v>
      </c>
      <c r="F19" s="31" t="s">
        <v>65</v>
      </c>
      <c r="G19" s="31" t="s">
        <v>66</v>
      </c>
      <c r="H19" s="31" t="s">
        <v>67</v>
      </c>
      <c r="I19" s="31" t="s">
        <v>68</v>
      </c>
      <c r="J19" s="32" t="s">
        <v>69</v>
      </c>
    </row>
    <row r="20">
      <c r="A20" s="33" t="s">
        <v>12</v>
      </c>
      <c r="B20" s="34" t="s">
        <v>70</v>
      </c>
      <c r="C20" s="35" t="str">
        <f>Assessment!B6</f>
        <v>We have a central governance layer for our data AND AI assets (models, MCP servers, tools, agents, connections).</v>
      </c>
      <c r="D20" s="36" t="s">
        <v>71</v>
      </c>
      <c r="E20" s="37">
        <f>Assessment!C6</f>
        <v>1</v>
      </c>
      <c r="F20" s="35" t="str">
        <f t="shared" ref="F20:F49" si="1">IF(E20="","",IF(E20&lt;=2,G20,IF(E20&lt;=4,H20,I20)))</f>
        <v>⛔ Blocking Prerequisite: Unity Catalog enabled with foundation models (+ a catalog &amp; running warehouse)</v>
      </c>
      <c r="G20" s="34" t="s">
        <v>72</v>
      </c>
      <c r="H20" s="34" t="s">
        <v>73</v>
      </c>
      <c r="I20" s="34" t="s">
        <v>33</v>
      </c>
      <c r="J20" s="38">
        <f t="shared" ref="J20:J49" si="2">IF(E20="","",5-E20)</f>
        <v>4</v>
      </c>
    </row>
    <row r="21">
      <c r="A21" s="33" t="s">
        <v>12</v>
      </c>
      <c r="B21" s="34" t="s">
        <v>74</v>
      </c>
      <c r="C21" s="35" t="str">
        <f>Assessment!B7</f>
        <v>Access to foundation models / LLMs is centrally controlled, with role or group based access (not per-developer keys).</v>
      </c>
      <c r="D21" s="36" t="s">
        <v>71</v>
      </c>
      <c r="E21" s="37">
        <f>Assessment!C7</f>
        <v>2</v>
      </c>
      <c r="F21" s="35" t="str">
        <f t="shared" si="1"/>
        <v>⛔ Blocking Prerequisite: Unity AI Gateway enabled on the account and workspace</v>
      </c>
      <c r="G21" s="34" t="s">
        <v>75</v>
      </c>
      <c r="H21" s="34" t="s">
        <v>76</v>
      </c>
      <c r="I21" s="34" t="s">
        <v>33</v>
      </c>
      <c r="J21" s="38">
        <f t="shared" si="2"/>
        <v>3</v>
      </c>
    </row>
    <row r="22">
      <c r="A22" s="33" t="s">
        <v>12</v>
      </c>
      <c r="B22" s="34" t="s">
        <v>77</v>
      </c>
      <c r="C22" s="35" t="str">
        <f>Assessment!B8</f>
        <v>We have a single inventory of which models, MCP servers, agents, and tools are deployed, accessible, and discoverable.</v>
      </c>
      <c r="D22" s="36" t="s">
        <v>78</v>
      </c>
      <c r="E22" s="37">
        <f>Assessment!C8</f>
        <v>3</v>
      </c>
      <c r="F22" s="35" t="str">
        <f t="shared" si="1"/>
        <v>🎯 Prove in Workshop: choice_list_endpoints, control_agent_service</v>
      </c>
      <c r="G22" s="34" t="s">
        <v>79</v>
      </c>
      <c r="H22" s="34" t="s">
        <v>79</v>
      </c>
      <c r="I22" s="34" t="s">
        <v>33</v>
      </c>
      <c r="J22" s="38">
        <f t="shared" si="2"/>
        <v>2</v>
      </c>
    </row>
    <row r="23">
      <c r="A23" s="33" t="s">
        <v>12</v>
      </c>
      <c r="B23" s="34" t="s">
        <v>80</v>
      </c>
      <c r="C23" s="35" t="str">
        <f>Assessment!B9</f>
        <v>We grant and revoke access to AI assets using the same roles/privileges we use for data.</v>
      </c>
      <c r="D23" s="36" t="s">
        <v>78</v>
      </c>
      <c r="E23" s="37">
        <f>Assessment!C9</f>
        <v>4</v>
      </c>
      <c r="F23" s="35" t="str">
        <f t="shared" si="1"/>
        <v>🎯 Prove in Workshop: choice_model_services, choice_default_access</v>
      </c>
      <c r="G23" s="34" t="s">
        <v>76</v>
      </c>
      <c r="H23" s="34" t="s">
        <v>76</v>
      </c>
      <c r="I23" s="34" t="s">
        <v>33</v>
      </c>
      <c r="J23" s="38">
        <f t="shared" si="2"/>
        <v>1</v>
      </c>
    </row>
    <row r="24">
      <c r="A24" s="33" t="s">
        <v>12</v>
      </c>
      <c r="B24" s="34" t="s">
        <v>81</v>
      </c>
      <c r="C24" s="35" t="str">
        <f>Assessment!B10</f>
        <v>Access decisions for AI assets are tied to user identity, not just service accounts.</v>
      </c>
      <c r="D24" s="36" t="s">
        <v>78</v>
      </c>
      <c r="E24" s="37">
        <f>Assessment!C10</f>
        <v>5</v>
      </c>
      <c r="F24" s="35" t="str">
        <f t="shared" si="1"/>
        <v>✅ Validate in POC</v>
      </c>
      <c r="G24" s="34" t="s">
        <v>82</v>
      </c>
      <c r="H24" s="34" t="s">
        <v>82</v>
      </c>
      <c r="I24" s="34" t="s">
        <v>33</v>
      </c>
      <c r="J24" s="38">
        <f t="shared" si="2"/>
        <v>0</v>
      </c>
    </row>
    <row r="25">
      <c r="A25" s="33" t="s">
        <v>12</v>
      </c>
      <c r="B25" s="34" t="s">
        <v>83</v>
      </c>
      <c r="C25" s="35" t="str">
        <f>Assessment!B11</f>
        <v>Agents access external systems with the requesting user's own permissions (on-behalf-of), not shared or service principal accounts.</v>
      </c>
      <c r="D25" s="36" t="s">
        <v>78</v>
      </c>
      <c r="E25" s="37">
        <f>Assessment!C11</f>
        <v>1</v>
      </c>
      <c r="F25" s="35" t="str">
        <f t="shared" si="1"/>
        <v>🎯 Prove in Workshop: control_mcp_policy</v>
      </c>
      <c r="G25" s="34" t="s">
        <v>84</v>
      </c>
      <c r="H25" s="34" t="s">
        <v>84</v>
      </c>
      <c r="I25" s="34" t="s">
        <v>33</v>
      </c>
      <c r="J25" s="38">
        <f t="shared" si="2"/>
        <v>4</v>
      </c>
    </row>
    <row r="26">
      <c r="A26" s="33" t="s">
        <v>12</v>
      </c>
      <c r="B26" s="34" t="s">
        <v>85</v>
      </c>
      <c r="C26" s="35" t="str">
        <f>Assessment!B12</f>
        <v>Model selection is governed by a defined approval process with an owner and we can ban a model provider or family org-wide in a single action (by provider, country of origin, or approval status).</v>
      </c>
      <c r="D26" s="36" t="s">
        <v>78</v>
      </c>
      <c r="E26" s="37">
        <f>Assessment!C12</f>
        <v>2</v>
      </c>
      <c r="F26" s="35" t="str">
        <f t="shared" si="1"/>
        <v>🎯 Prove in Workshop: choice_smart_routing</v>
      </c>
      <c r="G26" s="34" t="s">
        <v>86</v>
      </c>
      <c r="H26" s="34" t="s">
        <v>86</v>
      </c>
      <c r="I26" s="34" t="s">
        <v>33</v>
      </c>
      <c r="J26" s="38">
        <f t="shared" si="2"/>
        <v>3</v>
      </c>
    </row>
    <row r="27">
      <c r="A27" s="33" t="s">
        <v>12</v>
      </c>
      <c r="B27" s="34" t="s">
        <v>87</v>
      </c>
      <c r="C27" s="35" t="str">
        <f>Assessment!B13</f>
        <v>Coding-agent model choice and tool access (approved model list, read-vs-write tool restrictions) are defined and enforced centrally.</v>
      </c>
      <c r="D27" s="36" t="s">
        <v>78</v>
      </c>
      <c r="E27" s="37">
        <f>Assessment!C13</f>
        <v>3</v>
      </c>
      <c r="F27" s="35" t="str">
        <f t="shared" si="1"/>
        <v>🔍 Explore in Accelerator: Coding Agents, Skills</v>
      </c>
      <c r="G27" s="34" t="s">
        <v>88</v>
      </c>
      <c r="H27" s="34" t="s">
        <v>88</v>
      </c>
      <c r="I27" s="34" t="s">
        <v>33</v>
      </c>
      <c r="J27" s="38">
        <f t="shared" si="2"/>
        <v>2</v>
      </c>
    </row>
    <row r="28">
      <c r="A28" s="33" t="s">
        <v>12</v>
      </c>
      <c r="B28" s="34" t="s">
        <v>89</v>
      </c>
      <c r="C28" s="35" t="str">
        <f>Assessment!B14</f>
        <v>Our AI assets (vendor- or self hosted) are routed through the governed control plane, not connected directly and unmanaged.</v>
      </c>
      <c r="D28" s="36" t="s">
        <v>71</v>
      </c>
      <c r="E28" s="37">
        <f>Assessment!C14</f>
        <v>4</v>
      </c>
      <c r="F28" s="35" t="str">
        <f t="shared" si="1"/>
        <v>🔍 Explore in Accelerator: External Providers</v>
      </c>
      <c r="G28" s="34" t="s">
        <v>90</v>
      </c>
      <c r="H28" s="34" t="s">
        <v>91</v>
      </c>
      <c r="I28" s="34" t="s">
        <v>33</v>
      </c>
      <c r="J28" s="38">
        <f t="shared" si="2"/>
        <v>1</v>
      </c>
    </row>
    <row r="29">
      <c r="A29" s="33" t="s">
        <v>12</v>
      </c>
      <c r="B29" s="34" t="s">
        <v>92</v>
      </c>
      <c r="C29" s="35" t="str">
        <f>Assessment!B15</f>
        <v>We have the option to use the latest proprietary and open weight frontier models from leading AI labs</v>
      </c>
      <c r="D29" s="36" t="s">
        <v>78</v>
      </c>
      <c r="E29" s="37">
        <f>Assessment!C15</f>
        <v>4</v>
      </c>
      <c r="F29" s="35" t="str">
        <f t="shared" si="1"/>
        <v>🎯 Prove in Workshop: use_open_weight_model</v>
      </c>
      <c r="G29" s="34" t="s">
        <v>93</v>
      </c>
      <c r="H29" s="34" t="s">
        <v>93</v>
      </c>
      <c r="I29" s="34" t="s">
        <v>33</v>
      </c>
      <c r="J29" s="38">
        <f t="shared" si="2"/>
        <v>1</v>
      </c>
    </row>
    <row r="30">
      <c r="A30" s="33" t="s">
        <v>20</v>
      </c>
      <c r="B30" s="34" t="s">
        <v>94</v>
      </c>
      <c r="C30" s="35" t="str">
        <f>Assessment!B18</f>
        <v>We have unified visibility into our AI spend across models, providers, teams, and use cases.</v>
      </c>
      <c r="D30" s="36" t="s">
        <v>71</v>
      </c>
      <c r="E30" s="37">
        <f>Assessment!C18</f>
        <v>1</v>
      </c>
      <c r="F30" s="35" t="str">
        <f t="shared" si="1"/>
        <v>⛔ Blocking Prerequisite: Grant system.ai_gateway to the app service principal</v>
      </c>
      <c r="G30" s="34" t="s">
        <v>95</v>
      </c>
      <c r="H30" s="34" t="s">
        <v>96</v>
      </c>
      <c r="I30" s="34" t="s">
        <v>33</v>
      </c>
      <c r="J30" s="38">
        <f t="shared" si="2"/>
        <v>4</v>
      </c>
    </row>
    <row r="31">
      <c r="A31" s="33" t="s">
        <v>20</v>
      </c>
      <c r="B31" s="34" t="s">
        <v>97</v>
      </c>
      <c r="C31" s="35" t="str">
        <f>Assessment!B19</f>
        <v>We route each request to an appropriately-priced model and can quantify the savings versus always using the most expensive model.</v>
      </c>
      <c r="D31" s="36" t="s">
        <v>78</v>
      </c>
      <c r="E31" s="37">
        <f>Assessment!C19</f>
        <v>2</v>
      </c>
      <c r="F31" s="35" t="str">
        <f t="shared" si="1"/>
        <v>🎯 Prove in Workshop: choice_smart_routing, cost_model_panel, cost_routing_compare</v>
      </c>
      <c r="G31" s="34" t="s">
        <v>98</v>
      </c>
      <c r="H31" s="34" t="s">
        <v>98</v>
      </c>
      <c r="I31" s="34" t="s">
        <v>33</v>
      </c>
      <c r="J31" s="38">
        <f t="shared" si="2"/>
        <v>3</v>
      </c>
    </row>
    <row r="32">
      <c r="A32" s="33" t="s">
        <v>20</v>
      </c>
      <c r="B32" s="34" t="s">
        <v>99</v>
      </c>
      <c r="C32" s="35" t="str">
        <f>Assessment!B20</f>
        <v>We can attribute AI cost granularly by user, team, model, tool, use case, or tag.</v>
      </c>
      <c r="D32" s="36" t="s">
        <v>78</v>
      </c>
      <c r="E32" s="37">
        <f>Assessment!C20</f>
        <v>3</v>
      </c>
      <c r="F32" s="35" t="str">
        <f t="shared" si="1"/>
        <v>🎯 Prove in Workshop: cost_spend_by_model, cost_usage</v>
      </c>
      <c r="G32" s="34" t="s">
        <v>100</v>
      </c>
      <c r="H32" s="34" t="s">
        <v>100</v>
      </c>
      <c r="I32" s="34" t="s">
        <v>33</v>
      </c>
      <c r="J32" s="38">
        <f t="shared" si="2"/>
        <v>2</v>
      </c>
    </row>
    <row r="33">
      <c r="A33" s="33" t="s">
        <v>20</v>
      </c>
      <c r="B33" s="34" t="s">
        <v>101</v>
      </c>
      <c r="C33" s="35" t="str">
        <f>Assessment!B21</f>
        <v>We set and enforce AI budgets at the user, team, workspace, or account level and assign an appropriate owner.</v>
      </c>
      <c r="D33" s="36" t="s">
        <v>78</v>
      </c>
      <c r="E33" s="37">
        <f>Assessment!C21</f>
        <v>4</v>
      </c>
      <c r="F33" s="35" t="str">
        <f t="shared" si="1"/>
        <v>🎯 Prove in Workshop: cost_budgets</v>
      </c>
      <c r="G33" s="34" t="s">
        <v>102</v>
      </c>
      <c r="H33" s="34" t="s">
        <v>102</v>
      </c>
      <c r="I33" s="34" t="s">
        <v>33</v>
      </c>
      <c r="J33" s="38">
        <f t="shared" si="2"/>
        <v>1</v>
      </c>
    </row>
    <row r="34">
      <c r="A34" s="33" t="s">
        <v>20</v>
      </c>
      <c r="B34" s="34" t="s">
        <v>103</v>
      </c>
      <c r="C34" s="35" t="str">
        <f>Assessment!B22</f>
        <v>We can link AI-completed tasks with AI spend to understand which models are most efficient for our work</v>
      </c>
      <c r="D34" s="36" t="s">
        <v>78</v>
      </c>
      <c r="E34" s="37">
        <f>Assessment!C22</f>
        <v>5</v>
      </c>
      <c r="F34" s="35" t="str">
        <f t="shared" si="1"/>
        <v>✅ Validate in POC</v>
      </c>
      <c r="G34" s="34" t="s">
        <v>104</v>
      </c>
      <c r="H34" s="34" t="s">
        <v>104</v>
      </c>
      <c r="I34" s="34" t="s">
        <v>33</v>
      </c>
      <c r="J34" s="38">
        <f t="shared" si="2"/>
        <v>0</v>
      </c>
    </row>
    <row r="35">
      <c r="A35" s="33" t="s">
        <v>20</v>
      </c>
      <c r="B35" s="34" t="s">
        <v>105</v>
      </c>
      <c r="C35" s="35" t="str">
        <f>Assessment!B23</f>
        <v>We enforce rate limits (QPM / TPM) on model and MCP services to manage capacity and cost.</v>
      </c>
      <c r="D35" s="36" t="s">
        <v>78</v>
      </c>
      <c r="E35" s="37">
        <f>Assessment!C23</f>
        <v>1</v>
      </c>
      <c r="F35" s="35" t="str">
        <f t="shared" si="1"/>
        <v>🎯 Prove in Workshop: cost_rate_limits</v>
      </c>
      <c r="G35" s="34" t="s">
        <v>106</v>
      </c>
      <c r="H35" s="34" t="s">
        <v>106</v>
      </c>
      <c r="I35" s="34" t="s">
        <v>33</v>
      </c>
      <c r="J35" s="38">
        <f t="shared" si="2"/>
        <v>4</v>
      </c>
    </row>
    <row r="36">
      <c r="A36" s="33" t="s">
        <v>20</v>
      </c>
      <c r="B36" s="34" t="s">
        <v>107</v>
      </c>
      <c r="C36" s="35" t="str">
        <f>Assessment!B24</f>
        <v>We have hard spend caps that automatically halt or throttle requests when a budget is exceeded — not just soft alerts.</v>
      </c>
      <c r="D36" s="36" t="s">
        <v>78</v>
      </c>
      <c r="E36" s="37">
        <f>Assessment!C24</f>
        <v>1</v>
      </c>
      <c r="F36" s="35" t="str">
        <f t="shared" si="1"/>
        <v>🎯 Prove in Workshop: cost_rate_limits, cost_budgets</v>
      </c>
      <c r="G36" s="34" t="s">
        <v>108</v>
      </c>
      <c r="H36" s="34" t="s">
        <v>108</v>
      </c>
      <c r="I36" s="34" t="s">
        <v>33</v>
      </c>
      <c r="J36" s="38">
        <f t="shared" si="2"/>
        <v>4</v>
      </c>
    </row>
    <row r="37">
      <c r="A37" s="33" t="s">
        <v>20</v>
      </c>
      <c r="B37" s="34" t="s">
        <v>109</v>
      </c>
      <c r="C37" s="35" t="str">
        <f>Assessment!B25</f>
        <v>We detect runaway or anomalous AI spend early (retry loops, weekend experiments, sudden 100x spikes).</v>
      </c>
      <c r="D37" s="36" t="s">
        <v>78</v>
      </c>
      <c r="E37" s="37">
        <f>Assessment!C25</f>
        <v>1</v>
      </c>
      <c r="F37" s="35" t="str">
        <f t="shared" si="1"/>
        <v>🎯 Prove in Workshop: cost_budgets</v>
      </c>
      <c r="G37" s="34" t="s">
        <v>102</v>
      </c>
      <c r="H37" s="34" t="s">
        <v>102</v>
      </c>
      <c r="I37" s="34" t="s">
        <v>33</v>
      </c>
      <c r="J37" s="38">
        <f t="shared" si="2"/>
        <v>4</v>
      </c>
    </row>
    <row r="38">
      <c r="A38" s="33" t="s">
        <v>20</v>
      </c>
      <c r="B38" s="34" t="s">
        <v>110</v>
      </c>
      <c r="C38" s="35" t="str">
        <f>Assessment!B26</f>
        <v>Coding-agent spend is attributable by team, repo, or cost center — not a single vendor invoice line — and we know whether seat-based or token-based is the bigger driver.</v>
      </c>
      <c r="D38" s="36" t="s">
        <v>78</v>
      </c>
      <c r="E38" s="37">
        <f>Assessment!C26</f>
        <v>1</v>
      </c>
      <c r="F38" s="35" t="str">
        <f t="shared" si="1"/>
        <v>🔍 Explore in Accelerator: Coding Agents</v>
      </c>
      <c r="G38" s="34" t="s">
        <v>111</v>
      </c>
      <c r="H38" s="34" t="s">
        <v>111</v>
      </c>
      <c r="I38" s="34" t="s">
        <v>33</v>
      </c>
      <c r="J38" s="38">
        <f t="shared" si="2"/>
        <v>4</v>
      </c>
    </row>
    <row r="39">
      <c r="A39" s="33" t="s">
        <v>20</v>
      </c>
      <c r="B39" s="34" t="s">
        <v>112</v>
      </c>
      <c r="C39" s="35" t="str">
        <f>Assessment!B27</f>
        <v>AI spend spikes tie to an approved business case / owner (purchase-order or chargeback discipline).</v>
      </c>
      <c r="D39" s="36" t="s">
        <v>78</v>
      </c>
      <c r="E39" s="37">
        <f>Assessment!C27</f>
        <v>1</v>
      </c>
      <c r="F39" s="35" t="str">
        <f t="shared" si="1"/>
        <v>🎯 Prove in Workshop: cost_team_governance</v>
      </c>
      <c r="G39" s="34" t="s">
        <v>113</v>
      </c>
      <c r="H39" s="34" t="s">
        <v>113</v>
      </c>
      <c r="I39" s="34" t="s">
        <v>33</v>
      </c>
      <c r="J39" s="38">
        <f t="shared" si="2"/>
        <v>4</v>
      </c>
    </row>
    <row r="40">
      <c r="A40" s="33" t="s">
        <v>27</v>
      </c>
      <c r="B40" s="34" t="s">
        <v>114</v>
      </c>
      <c r="C40" s="35" t="str">
        <f>Assessment!B30</f>
        <v>We apply content guardrails / service policies to AI requests AND responses, authored centrally as one layer across the models and services we register.</v>
      </c>
      <c r="D40" s="36" t="s">
        <v>78</v>
      </c>
      <c r="E40" s="37">
        <f>Assessment!C30</f>
        <v>1</v>
      </c>
      <c r="F40" s="35" t="str">
        <f t="shared" si="1"/>
        <v>🎯 Prove in Workshop: control_guardrails</v>
      </c>
      <c r="G40" s="34" t="s">
        <v>115</v>
      </c>
      <c r="H40" s="34" t="s">
        <v>115</v>
      </c>
      <c r="I40" s="34" t="s">
        <v>33</v>
      </c>
      <c r="J40" s="38">
        <f t="shared" si="2"/>
        <v>4</v>
      </c>
    </row>
    <row r="41">
      <c r="A41" s="33" t="s">
        <v>27</v>
      </c>
      <c r="B41" s="34" t="s">
        <v>116</v>
      </c>
      <c r="C41" s="35" t="str">
        <f>Assessment!B31</f>
        <v>We detect and handle PII/PHI/PCI in AI requests and responses to meet compliance requirements, and we distinguish masking from blocking.</v>
      </c>
      <c r="D41" s="36" t="s">
        <v>71</v>
      </c>
      <c r="E41" s="37">
        <f>Assessment!C31</f>
        <v>1</v>
      </c>
      <c r="F41" s="35" t="str">
        <f t="shared" si="1"/>
        <v>⛔ Blocking Prerequisite: External-storage catalog for inference tables, with private networking tested [only if guardrails in scope]</v>
      </c>
      <c r="G41" s="34" t="s">
        <v>117</v>
      </c>
      <c r="H41" s="34" t="s">
        <v>115</v>
      </c>
      <c r="I41" s="34" t="s">
        <v>33</v>
      </c>
      <c r="J41" s="38">
        <f t="shared" si="2"/>
        <v>4</v>
      </c>
    </row>
    <row r="42">
      <c r="A42" s="33" t="s">
        <v>27</v>
      </c>
      <c r="B42" s="34" t="s">
        <v>118</v>
      </c>
      <c r="C42" s="35" t="str">
        <f>Assessment!B32</f>
        <v>We have protections against prompt injection / jailbreak and policy violations, including for customer-facing AI.</v>
      </c>
      <c r="D42" s="36" t="s">
        <v>78</v>
      </c>
      <c r="E42" s="37">
        <f>Assessment!C32</f>
        <v>1</v>
      </c>
      <c r="F42" s="35" t="str">
        <f t="shared" si="1"/>
        <v>🎯 Prove in Workshop: control_guardrails</v>
      </c>
      <c r="G42" s="34" t="s">
        <v>115</v>
      </c>
      <c r="H42" s="34" t="s">
        <v>115</v>
      </c>
      <c r="I42" s="34" t="s">
        <v>33</v>
      </c>
      <c r="J42" s="38">
        <f t="shared" si="2"/>
        <v>4</v>
      </c>
    </row>
    <row r="43">
      <c r="A43" s="33" t="s">
        <v>27</v>
      </c>
      <c r="B43" s="34" t="s">
        <v>119</v>
      </c>
      <c r="C43" s="35" t="str">
        <f>Assessment!B33</f>
        <v>Hallucination / groundedness requirements are addressed — responses can be flagged or blocked, or required to cite sources.</v>
      </c>
      <c r="D43" s="36" t="s">
        <v>78</v>
      </c>
      <c r="E43" s="37">
        <f>Assessment!C33</f>
        <v>1</v>
      </c>
      <c r="F43" s="35" t="str">
        <f t="shared" si="1"/>
        <v>🔍 Explore in Accelerator: Policies &amp; Guardrails</v>
      </c>
      <c r="G43" s="34" t="s">
        <v>120</v>
      </c>
      <c r="H43" s="34" t="s">
        <v>120</v>
      </c>
      <c r="I43" s="34" t="s">
        <v>33</v>
      </c>
      <c r="J43" s="38">
        <f t="shared" si="2"/>
        <v>4</v>
      </c>
    </row>
    <row r="44">
      <c r="A44" s="33" t="s">
        <v>27</v>
      </c>
      <c r="B44" s="34" t="s">
        <v>121</v>
      </c>
      <c r="C44" s="35" t="str">
        <f>Assessment!B34</f>
        <v>We have a defined policy-authoring process (who decides what counts as a violation, how policies are versioned) with per-use-case or per-agent policies, not one-size-fits-all.</v>
      </c>
      <c r="D44" s="36" t="s">
        <v>78</v>
      </c>
      <c r="E44" s="37">
        <f>Assessment!C34</f>
        <v>1</v>
      </c>
      <c r="F44" s="35" t="str">
        <f t="shared" si="1"/>
        <v>🎯 Prove in Workshop: control_mcp_policy</v>
      </c>
      <c r="G44" s="34" t="s">
        <v>84</v>
      </c>
      <c r="H44" s="34" t="s">
        <v>84</v>
      </c>
      <c r="I44" s="34" t="s">
        <v>33</v>
      </c>
      <c r="J44" s="38">
        <f t="shared" si="2"/>
        <v>4</v>
      </c>
    </row>
    <row r="45">
      <c r="A45" s="33" t="s">
        <v>27</v>
      </c>
      <c r="B45" s="34" t="s">
        <v>122</v>
      </c>
      <c r="C45" s="35" t="str">
        <f>Assessment!B35</f>
        <v>We can allow, deny, or require approval (ALLOW / DENY / ASK) for specific AI actions based on user, agent, model, or content.</v>
      </c>
      <c r="D45" s="36" t="s">
        <v>78</v>
      </c>
      <c r="E45" s="37">
        <f>Assessment!C35</f>
        <v>1</v>
      </c>
      <c r="F45" s="35" t="str">
        <f t="shared" si="1"/>
        <v>🎯 Prove in Workshop: control_endpoint_acl, control_mcp_policy</v>
      </c>
      <c r="G45" s="34" t="s">
        <v>123</v>
      </c>
      <c r="H45" s="34" t="s">
        <v>123</v>
      </c>
      <c r="I45" s="34" t="s">
        <v>33</v>
      </c>
      <c r="J45" s="38">
        <f t="shared" si="2"/>
        <v>4</v>
      </c>
    </row>
    <row r="46">
      <c r="A46" s="33" t="s">
        <v>27</v>
      </c>
      <c r="B46" s="34" t="s">
        <v>124</v>
      </c>
      <c r="C46" s="35" t="str">
        <f>Assessment!B36</f>
        <v>All AI requests, responses, and policy actions are logged for audit; we can demonstrate logs for regulatory obligations (GLBA, HIPAA, FedRAMP, GDPR), scan for leaked secrets, and enforce token rotation / OAuth / secret management.</v>
      </c>
      <c r="D46" s="36" t="s">
        <v>71</v>
      </c>
      <c r="E46" s="37">
        <f>Assessment!C36</f>
        <v>2</v>
      </c>
      <c r="F46" s="35" t="str">
        <f t="shared" si="1"/>
        <v>⛔ Blocking Prerequisite: Grant system.access to the app service principal</v>
      </c>
      <c r="G46" s="34" t="s">
        <v>125</v>
      </c>
      <c r="H46" s="34" t="s">
        <v>126</v>
      </c>
      <c r="I46" s="34" t="s">
        <v>33</v>
      </c>
      <c r="J46" s="38">
        <f t="shared" si="2"/>
        <v>3</v>
      </c>
    </row>
    <row r="47">
      <c r="A47" s="33" t="s">
        <v>27</v>
      </c>
      <c r="B47" s="34" t="s">
        <v>127</v>
      </c>
      <c r="C47" s="35" t="str">
        <f>Assessment!B37</f>
        <v>We have end-to-end, developer-level tracing across model and MCP tool activity, attributable to named users and correlated with resource-level access events (who did what, via which agent, to which resource).</v>
      </c>
      <c r="D47" s="36" t="s">
        <v>78</v>
      </c>
      <c r="E47" s="37">
        <f>Assessment!C37</f>
        <v>1</v>
      </c>
      <c r="F47" s="35" t="str">
        <f t="shared" si="1"/>
        <v>🎯 Prove in Workshop: control_audit</v>
      </c>
      <c r="G47" s="34" t="s">
        <v>128</v>
      </c>
      <c r="H47" s="34" t="s">
        <v>128</v>
      </c>
      <c r="I47" s="34" t="s">
        <v>33</v>
      </c>
      <c r="J47" s="38">
        <f t="shared" si="2"/>
        <v>4</v>
      </c>
    </row>
    <row r="48">
      <c r="A48" s="33" t="s">
        <v>27</v>
      </c>
      <c r="B48" s="34" t="s">
        <v>129</v>
      </c>
      <c r="C48" s="35" t="str">
        <f>Assessment!B38</f>
        <v>We have unified dashboards for AI usage, cost, and performance from one source of truth, and AI activity feeds our security information and event management system the way database or application activity does — including external and on-prem AI via a standard protocol (e.g., OpenTelemetry).</v>
      </c>
      <c r="D48" s="36" t="s">
        <v>78</v>
      </c>
      <c r="E48" s="37">
        <f>Assessment!C38</f>
        <v>1</v>
      </c>
      <c r="F48" s="35" t="str">
        <f t="shared" si="1"/>
        <v>🎯 Prove in Workshop: control_governed_endpoint</v>
      </c>
      <c r="G48" s="34" t="s">
        <v>130</v>
      </c>
      <c r="H48" s="34" t="s">
        <v>130</v>
      </c>
      <c r="I48" s="34" t="s">
        <v>33</v>
      </c>
      <c r="J48" s="38">
        <f t="shared" si="2"/>
        <v>4</v>
      </c>
    </row>
    <row r="49">
      <c r="A49" s="39" t="s">
        <v>27</v>
      </c>
      <c r="B49" s="40" t="s">
        <v>131</v>
      </c>
      <c r="C49" s="41" t="str">
        <f>Assessment!B39</f>
        <v>We use reliability features such as fallbacks, traffic splitting across model versions or families, and regional deployments with automatic failover; coding-agent activity is monitored centrally.</v>
      </c>
      <c r="D49" s="42" t="s">
        <v>78</v>
      </c>
      <c r="E49" s="43">
        <f>Assessment!C39</f>
        <v>1</v>
      </c>
      <c r="F49" s="41" t="str">
        <f t="shared" si="1"/>
        <v>🎯 Prove in Workshop: control_governed_endpoint</v>
      </c>
      <c r="G49" s="40" t="s">
        <v>130</v>
      </c>
      <c r="H49" s="40" t="s">
        <v>130</v>
      </c>
      <c r="I49" s="40" t="s">
        <v>33</v>
      </c>
      <c r="J49" s="44">
        <f t="shared" si="2"/>
        <v>4</v>
      </c>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row>
    <row r="100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row>
    <row r="1002">
      <c r="A1002" s="45"/>
      <c r="B1002" s="45"/>
      <c r="C1002" s="45"/>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row>
    <row r="1003">
      <c r="A1003" s="45"/>
      <c r="B1003" s="45"/>
      <c r="C1003" s="45"/>
      <c r="D1003" s="45"/>
      <c r="E1003" s="45"/>
      <c r="F1003" s="45"/>
      <c r="G1003" s="45"/>
      <c r="H1003" s="45"/>
      <c r="I1003" s="45"/>
      <c r="J1003" s="45"/>
      <c r="K1003" s="45"/>
      <c r="L1003" s="45"/>
      <c r="M1003" s="45"/>
      <c r="N1003" s="45"/>
      <c r="O1003" s="45"/>
      <c r="P1003" s="45"/>
      <c r="Q1003" s="45"/>
      <c r="R1003" s="45"/>
      <c r="S1003" s="45"/>
      <c r="T1003" s="45"/>
      <c r="U1003" s="45"/>
      <c r="V1003" s="45"/>
      <c r="W1003" s="45"/>
      <c r="X1003" s="45"/>
      <c r="Y1003" s="45"/>
    </row>
    <row r="1004">
      <c r="A1004" s="45"/>
      <c r="B1004" s="45"/>
      <c r="C1004" s="45"/>
      <c r="D1004" s="45"/>
      <c r="E1004" s="45"/>
      <c r="F1004" s="45"/>
      <c r="G1004" s="45"/>
      <c r="H1004" s="45"/>
      <c r="I1004" s="45"/>
      <c r="J1004" s="45"/>
      <c r="K1004" s="45"/>
      <c r="L1004" s="45"/>
      <c r="M1004" s="45"/>
      <c r="N1004" s="45"/>
      <c r="O1004" s="45"/>
      <c r="P1004" s="45"/>
      <c r="Q1004" s="45"/>
      <c r="R1004" s="45"/>
      <c r="S1004" s="45"/>
      <c r="T1004" s="45"/>
      <c r="U1004" s="45"/>
      <c r="V1004" s="45"/>
      <c r="W1004" s="45"/>
      <c r="X1004" s="45"/>
      <c r="Y1004" s="45"/>
    </row>
    <row r="1005">
      <c r="A1005" s="45"/>
      <c r="B1005" s="45"/>
      <c r="C1005" s="45"/>
      <c r="D1005" s="45"/>
      <c r="E1005" s="45"/>
      <c r="F1005" s="45"/>
      <c r="G1005" s="45"/>
      <c r="H1005" s="45"/>
      <c r="I1005" s="45"/>
      <c r="J1005" s="45"/>
      <c r="K1005" s="45"/>
      <c r="L1005" s="45"/>
      <c r="M1005" s="45"/>
      <c r="N1005" s="45"/>
      <c r="O1005" s="45"/>
      <c r="P1005" s="45"/>
      <c r="Q1005" s="45"/>
      <c r="R1005" s="45"/>
      <c r="S1005" s="45"/>
      <c r="T1005" s="45"/>
      <c r="U1005" s="45"/>
      <c r="V1005" s="45"/>
      <c r="W1005" s="45"/>
      <c r="X1005" s="45"/>
      <c r="Y1005" s="45"/>
    </row>
    <row r="1006">
      <c r="A1006" s="45"/>
      <c r="B1006" s="45"/>
      <c r="C1006" s="45"/>
      <c r="D1006" s="45"/>
      <c r="E1006" s="45"/>
      <c r="F1006" s="45"/>
      <c r="G1006" s="45"/>
      <c r="H1006" s="45"/>
      <c r="I1006" s="45"/>
      <c r="J1006" s="45"/>
      <c r="K1006" s="45"/>
      <c r="L1006" s="45"/>
      <c r="M1006" s="45"/>
      <c r="N1006" s="45"/>
      <c r="O1006" s="45"/>
      <c r="P1006" s="45"/>
      <c r="Q1006" s="45"/>
      <c r="R1006" s="45"/>
      <c r="S1006" s="45"/>
      <c r="T1006" s="45"/>
      <c r="U1006" s="45"/>
      <c r="V1006" s="45"/>
      <c r="W1006" s="45"/>
      <c r="X1006" s="45"/>
      <c r="Y1006" s="45"/>
    </row>
    <row r="1007">
      <c r="A1007" s="45"/>
      <c r="B1007" s="45"/>
      <c r="C1007" s="45"/>
      <c r="D1007" s="45"/>
      <c r="E1007" s="45"/>
      <c r="F1007" s="45"/>
      <c r="G1007" s="45"/>
      <c r="H1007" s="45"/>
      <c r="I1007" s="45"/>
      <c r="J1007" s="45"/>
      <c r="K1007" s="45"/>
      <c r="L1007" s="45"/>
      <c r="M1007" s="45"/>
      <c r="N1007" s="45"/>
      <c r="O1007" s="45"/>
      <c r="P1007" s="45"/>
      <c r="Q1007" s="45"/>
      <c r="R1007" s="45"/>
      <c r="S1007" s="45"/>
      <c r="T1007" s="45"/>
      <c r="U1007" s="45"/>
      <c r="V1007" s="45"/>
      <c r="W1007" s="45"/>
      <c r="X1007" s="45"/>
      <c r="Y1007" s="45"/>
    </row>
  </sheetData>
  <mergeCells count="2">
    <mergeCell ref="A1:J1"/>
    <mergeCell ref="A2:J2"/>
  </mergeCells>
  <conditionalFormatting sqref="E20:E49">
    <cfRule type="cellIs" dxfId="0" priority="1" stopIfTrue="1" operator="between">
      <formula>1</formula>
      <formula>2</formula>
    </cfRule>
  </conditionalFormatting>
  <conditionalFormatting sqref="E20:E49">
    <cfRule type="cellIs" dxfId="1" priority="2" stopIfTrue="1" operator="between">
      <formula>3</formula>
      <formula>4</formula>
    </cfRule>
  </conditionalFormatting>
  <conditionalFormatting sqref="E20:E49">
    <cfRule type="cellIs" dxfId="2" priority="3" stopIfTrue="1" operator="equal">
      <formula>5</formula>
    </cfRule>
  </conditionalFormatting>
  <conditionalFormatting sqref="D12:D17">
    <cfRule type="expression" dxfId="2" priority="4" stopIfTrue="1">
      <formula>AND(ISNUMBER($D12),$D12=MAX($D$12:$D$17))</formula>
    </cfRule>
  </conditionalFormatting>
  <drawing r:id="rId1"/>
</worksheet>
</file>